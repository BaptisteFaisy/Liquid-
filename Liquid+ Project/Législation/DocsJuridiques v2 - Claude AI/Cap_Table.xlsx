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<sst xmlns="http://schemas.openxmlformats.org/spreadsheetml/2006/main" count="45" uniqueCount="39">
  <si>
    <t xml:space="preserve">TABLE DE CAPITALISATION (CAP TABLE)</t>
  </si>
  <si>
    <t xml:space="preserve">[DÉNOMINATION DE LA SOCIÉTÉ] – SAS  •  Tour [SEED / SÉRIE A]  •  à la date du [•]</t>
  </si>
  <si>
    <t xml:space="preserve">HYPOTHÈSES / INPUTS</t>
  </si>
  <si>
    <t xml:space="preserve">Valorisation pre-money</t>
  </si>
  <si>
    <t xml:space="preserve">← à saisir</t>
  </si>
  <si>
    <t xml:space="preserve">Montant total investi (tour)</t>
  </si>
  <si>
    <t xml:space="preserve">Valeur nominale par action</t>
  </si>
  <si>
    <t xml:space="preserve">Nouveau pool d'options créé (actions)</t>
  </si>
  <si>
    <t xml:space="preserve">Prix par action (pre-money fully diluted)</t>
  </si>
  <si>
    <t xml:space="preserve">Valorisation post-money</t>
  </si>
  <si>
    <t xml:space="preserve">Prime d'émission par action</t>
  </si>
  <si>
    <t xml:space="preserve">Actionnaire</t>
  </si>
  <si>
    <t xml:space="preserve">Catégorie de titres</t>
  </si>
  <si>
    <t xml:space="preserve">Actions avant</t>
  </si>
  <si>
    <t xml:space="preserve">% avant</t>
  </si>
  <si>
    <t xml:space="preserve">€ investis</t>
  </si>
  <si>
    <t xml:space="preserve">Actions émises</t>
  </si>
  <si>
    <t xml:space="preserve">Actions après</t>
  </si>
  <si>
    <t xml:space="preserve">% après (FD)</t>
  </si>
  <si>
    <t xml:space="preserve">[Fondateur 1]</t>
  </si>
  <si>
    <t xml:space="preserve">Actions ordinaires</t>
  </si>
  <si>
    <t xml:space="preserve">[Fondateur 2]</t>
  </si>
  <si>
    <t xml:space="preserve">[Investisseur existant / BA]</t>
  </si>
  <si>
    <t xml:space="preserve">Pool d'options existant</t>
  </si>
  <si>
    <t xml:space="preserve">BSPCE / ESOP</t>
  </si>
  <si>
    <t xml:space="preserve">[Ligne libre]</t>
  </si>
  <si>
    <t xml:space="preserve">[•]</t>
  </si>
  <si>
    <t xml:space="preserve">Nouveau pool d'options</t>
  </si>
  <si>
    <t xml:space="preserve">[Investisseur A]</t>
  </si>
  <si>
    <t xml:space="preserve">Actions de préférence</t>
  </si>
  <si>
    <t xml:space="preserve">[Investisseur B]</t>
  </si>
  <si>
    <t xml:space="preserve">[Investisseur C]</t>
  </si>
  <si>
    <t xml:space="preserve">TOTAL</t>
  </si>
  <si>
    <t xml:space="preserve">CONTRÔLES</t>
  </si>
  <si>
    <t xml:space="preserve">% après = 100 %</t>
  </si>
  <si>
    <t xml:space="preserve">Prix × actions après = post-money</t>
  </si>
  <si>
    <t xml:space="preserve">Quote-part des nouveaux investisseurs (post)</t>
  </si>
  <si>
    <t xml:space="preserve">Dilution du pool (post)</t>
  </si>
  <si>
    <t xml:space="preserve">Note : valeurs en bleu = inputs à saisir (surlignées en jaune) ; valeurs en noir = formules. Le pool d'options est créé avant l'opération (dilution supportée par les fondateurs). Le prix par action s'entend sur une base pleinement diluée pre-money. Chiffres d'exemple à remplacer. À vérifier par un avocat / expert-comptable.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</si>
</sst>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€&quot;"/>
    <numFmt numFmtId="166" formatCode="#,##0.00&quot; €&quot;"/>
    <numFmt numFmtId="167" formatCode="#,##0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4A7A"/>
      </patternFill>
    </fill>
    <fill>
      <patternFill patternType="solid">
        <fgColor rgb="FFF2F6FC"/>
        <bgColor rgb="FFEDF1F7"/>
      </patternFill>
    </fill>
    <fill>
      <patternFill patternType="solid">
        <fgColor rgb="FFFFF2CC"/>
        <bgColor rgb="FFEDF1F7"/>
      </patternFill>
    </fill>
    <fill>
      <patternFill patternType="solid">
        <fgColor rgb="FFFFFFFF"/>
        <bgColor rgb="FFF2F6FC"/>
      </patternFill>
    </fill>
    <fill>
      <patternFill patternType="solid">
        <fgColor rgb="FFEDF1F7"/>
        <bgColor rgb="FFF2F6FC"/>
      </patternFill>
    </fill>
    <fill>
      <patternFill patternType="solid">
        <fgColor rgb="FF2E4A7A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DF1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7" min="5" style="0" width="14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4000000</v>
      </c>
      <c r="C5" s="7" t="s">
        <v>4</v>
      </c>
    </row>
    <row r="6" customFormat="false" ht="15" hidden="false" customHeight="false" outlineLevel="0" collapsed="false">
      <c r="A6" s="8" t="s">
        <v>5</v>
      </c>
      <c r="B6" s="9" t="n">
        <f aca="false">E24</f>
        <v>1000000</v>
      </c>
    </row>
    <row r="7" customFormat="false" ht="15" hidden="false" customHeight="false" outlineLevel="0" collapsed="false">
      <c r="A7" s="5" t="s">
        <v>6</v>
      </c>
      <c r="B7" s="10" t="n">
        <v>0.01</v>
      </c>
    </row>
    <row r="8" customFormat="false" ht="15" hidden="false" customHeight="false" outlineLevel="0" collapsed="false">
      <c r="A8" s="5" t="s">
        <v>7</v>
      </c>
      <c r="B8" s="11" t="n">
        <v>150000</v>
      </c>
      <c r="C8" s="7" t="s">
        <v>4</v>
      </c>
    </row>
    <row r="9" customFormat="false" ht="15" hidden="false" customHeight="false" outlineLevel="0" collapsed="false">
      <c r="A9" s="8" t="s">
        <v>8</v>
      </c>
      <c r="B9" s="12" t="n">
        <f aca="false">B5/(C24+B8)</f>
        <v>3.2</v>
      </c>
    </row>
    <row r="10" customFormat="false" ht="15" hidden="false" customHeight="false" outlineLevel="0" collapsed="false">
      <c r="A10" s="8" t="s">
        <v>9</v>
      </c>
      <c r="B10" s="9" t="n">
        <f aca="false">B5+B6</f>
        <v>5000000</v>
      </c>
    </row>
    <row r="11" customFormat="false" ht="15" hidden="false" customHeight="false" outlineLevel="0" collapsed="false">
      <c r="A11" s="8" t="s">
        <v>10</v>
      </c>
      <c r="B11" s="12" t="n">
        <f aca="false">B9-B7</f>
        <v>3.19</v>
      </c>
    </row>
    <row r="14" customFormat="false" ht="15" hidden="false" customHeight="false" outlineLevel="0" collapsed="false">
      <c r="A14" s="13" t="s">
        <v>11</v>
      </c>
      <c r="B14" s="13" t="s">
        <v>12</v>
      </c>
      <c r="C14" s="13" t="s">
        <v>13</v>
      </c>
      <c r="D14" s="13" t="s">
        <v>14</v>
      </c>
      <c r="E14" s="13" t="s">
        <v>15</v>
      </c>
      <c r="F14" s="13" t="s">
        <v>16</v>
      </c>
      <c r="G14" s="13" t="s">
        <v>17</v>
      </c>
      <c r="H14" s="13" t="s">
        <v>18</v>
      </c>
    </row>
    <row r="15" customFormat="false" ht="15" hidden="false" customHeight="false" outlineLevel="0" collapsed="false">
      <c r="A15" s="14" t="s">
        <v>19</v>
      </c>
      <c r="B15" s="15" t="s">
        <v>20</v>
      </c>
      <c r="C15" s="16" t="n">
        <v>600000</v>
      </c>
      <c r="D15" s="17" t="n">
        <f aca="false">IF($C$24=0,0,C15/$C$24)</f>
        <v>0.545454545454545</v>
      </c>
      <c r="E15" s="18"/>
      <c r="F15" s="19"/>
      <c r="G15" s="20" t="n">
        <f aca="false">C15+F15</f>
        <v>600000</v>
      </c>
      <c r="H15" s="17" t="n">
        <f aca="false">IF($G$24=0,0,G15/$G$24)</f>
        <v>0.384</v>
      </c>
    </row>
    <row r="16" customFormat="false" ht="15" hidden="false" customHeight="false" outlineLevel="0" collapsed="false">
      <c r="A16" s="21" t="s">
        <v>21</v>
      </c>
      <c r="B16" s="22" t="s">
        <v>20</v>
      </c>
      <c r="C16" s="23" t="n">
        <v>400000</v>
      </c>
      <c r="D16" s="24" t="n">
        <f aca="false">IF($C$24=0,0,C16/$C$24)</f>
        <v>0.363636363636364</v>
      </c>
      <c r="E16" s="25"/>
      <c r="F16" s="26"/>
      <c r="G16" s="27" t="n">
        <f aca="false">C16+F16</f>
        <v>400000</v>
      </c>
      <c r="H16" s="24" t="n">
        <f aca="false">IF($G$24=0,0,G16/$G$24)</f>
        <v>0.256</v>
      </c>
    </row>
    <row r="17" customFormat="false" ht="15" hidden="false" customHeight="false" outlineLevel="0" collapsed="false">
      <c r="A17" s="14" t="s">
        <v>22</v>
      </c>
      <c r="B17" s="15" t="s">
        <v>20</v>
      </c>
      <c r="C17" s="16" t="n">
        <v>0</v>
      </c>
      <c r="D17" s="17" t="n">
        <f aca="false">IF($C$24=0,0,C17/$C$24)</f>
        <v>0</v>
      </c>
      <c r="E17" s="18"/>
      <c r="F17" s="19"/>
      <c r="G17" s="20" t="n">
        <f aca="false">C17+F17</f>
        <v>0</v>
      </c>
      <c r="H17" s="17" t="n">
        <f aca="false">IF($G$24=0,0,G17/$G$24)</f>
        <v>0</v>
      </c>
    </row>
    <row r="18" customFormat="false" ht="15" hidden="false" customHeight="false" outlineLevel="0" collapsed="false">
      <c r="A18" s="21" t="s">
        <v>23</v>
      </c>
      <c r="B18" s="22" t="s">
        <v>24</v>
      </c>
      <c r="C18" s="23" t="n">
        <v>100000</v>
      </c>
      <c r="D18" s="24" t="n">
        <f aca="false">IF($C$24=0,0,C18/$C$24)</f>
        <v>0.0909090909090909</v>
      </c>
      <c r="E18" s="25"/>
      <c r="F18" s="26"/>
      <c r="G18" s="27" t="n">
        <f aca="false">C18+F18</f>
        <v>100000</v>
      </c>
      <c r="H18" s="24" t="n">
        <f aca="false">IF($G$24=0,0,G18/$G$24)</f>
        <v>0.064</v>
      </c>
    </row>
    <row r="19" customFormat="false" ht="15" hidden="false" customHeight="false" outlineLevel="0" collapsed="false">
      <c r="A19" s="14" t="s">
        <v>25</v>
      </c>
      <c r="B19" s="15" t="s">
        <v>26</v>
      </c>
      <c r="C19" s="16" t="n">
        <v>0</v>
      </c>
      <c r="D19" s="17" t="n">
        <f aca="false">IF($C$24=0,0,C19/$C$24)</f>
        <v>0</v>
      </c>
      <c r="E19" s="18"/>
      <c r="F19" s="19"/>
      <c r="G19" s="20" t="n">
        <f aca="false">C19+F19</f>
        <v>0</v>
      </c>
      <c r="H19" s="17" t="n">
        <f aca="false">IF($G$24=0,0,G19/$G$24)</f>
        <v>0</v>
      </c>
    </row>
    <row r="20" customFormat="false" ht="15" hidden="false" customHeight="false" outlineLevel="0" collapsed="false">
      <c r="A20" s="21" t="s">
        <v>27</v>
      </c>
      <c r="B20" s="22" t="s">
        <v>24</v>
      </c>
      <c r="C20" s="23" t="n">
        <v>0</v>
      </c>
      <c r="D20" s="24" t="n">
        <f aca="false">IF($C$24=0,0,C20/$C$24)</f>
        <v>0</v>
      </c>
      <c r="E20" s="25"/>
      <c r="F20" s="27" t="n">
        <f aca="false">B8</f>
        <v>150000</v>
      </c>
      <c r="G20" s="27" t="n">
        <f aca="false">C20+F20</f>
        <v>150000</v>
      </c>
      <c r="H20" s="24" t="n">
        <f aca="false">IF($G$24=0,0,G20/$G$24)</f>
        <v>0.096</v>
      </c>
    </row>
    <row r="21" customFormat="false" ht="15" hidden="false" customHeight="false" outlineLevel="0" collapsed="false">
      <c r="A21" s="14" t="s">
        <v>28</v>
      </c>
      <c r="B21" s="15" t="s">
        <v>29</v>
      </c>
      <c r="C21" s="16" t="n">
        <v>0</v>
      </c>
      <c r="D21" s="17" t="n">
        <f aca="false">IF($C$24=0,0,C21/$C$24)</f>
        <v>0</v>
      </c>
      <c r="E21" s="6" t="n">
        <v>500000</v>
      </c>
      <c r="F21" s="20" t="n">
        <f aca="false">E21/$B$9</f>
        <v>156250</v>
      </c>
      <c r="G21" s="20" t="n">
        <f aca="false">C21+F21</f>
        <v>156250</v>
      </c>
      <c r="H21" s="17" t="n">
        <f aca="false">IF($G$24=0,0,G21/$G$24)</f>
        <v>0.1</v>
      </c>
    </row>
    <row r="22" customFormat="false" ht="15" hidden="false" customHeight="false" outlineLevel="0" collapsed="false">
      <c r="A22" s="21" t="s">
        <v>30</v>
      </c>
      <c r="B22" s="22" t="s">
        <v>29</v>
      </c>
      <c r="C22" s="23" t="n">
        <v>0</v>
      </c>
      <c r="D22" s="24" t="n">
        <f aca="false">IF($C$24=0,0,C22/$C$24)</f>
        <v>0</v>
      </c>
      <c r="E22" s="6" t="n">
        <v>300000</v>
      </c>
      <c r="F22" s="27" t="n">
        <f aca="false">E22/$B$9</f>
        <v>93750</v>
      </c>
      <c r="G22" s="27" t="n">
        <f aca="false">C22+F22</f>
        <v>93750</v>
      </c>
      <c r="H22" s="24" t="n">
        <f aca="false">IF($G$24=0,0,G22/$G$24)</f>
        <v>0.06</v>
      </c>
    </row>
    <row r="23" customFormat="false" ht="15" hidden="false" customHeight="false" outlineLevel="0" collapsed="false">
      <c r="A23" s="14" t="s">
        <v>31</v>
      </c>
      <c r="B23" s="15" t="s">
        <v>29</v>
      </c>
      <c r="C23" s="16" t="n">
        <v>0</v>
      </c>
      <c r="D23" s="17" t="n">
        <f aca="false">IF($C$24=0,0,C23/$C$24)</f>
        <v>0</v>
      </c>
      <c r="E23" s="6" t="n">
        <v>200000</v>
      </c>
      <c r="F23" s="20" t="n">
        <f aca="false">E23/$B$9</f>
        <v>62500</v>
      </c>
      <c r="G23" s="20" t="n">
        <f aca="false">C23+F23</f>
        <v>62500</v>
      </c>
      <c r="H23" s="17" t="n">
        <f aca="false">IF($G$24=0,0,G23/$G$24)</f>
        <v>0.04</v>
      </c>
    </row>
    <row r="24" customFormat="false" ht="15" hidden="false" customHeight="false" outlineLevel="0" collapsed="false">
      <c r="A24" s="28" t="s">
        <v>32</v>
      </c>
      <c r="B24" s="28"/>
      <c r="C24" s="29" t="n">
        <f aca="false">SUM(C15:C23)</f>
        <v>1100000</v>
      </c>
      <c r="D24" s="30" t="n">
        <f aca="false">IF($C$24=0,0,C24/$C$24)</f>
        <v>1</v>
      </c>
      <c r="E24" s="31" t="n">
        <f aca="false">SUM(E15:E23)</f>
        <v>1000000</v>
      </c>
      <c r="F24" s="29" t="n">
        <f aca="false">SUM(F15:F23)</f>
        <v>462500</v>
      </c>
      <c r="G24" s="29" t="n">
        <f aca="false">SUM(G15:G23)</f>
        <v>1562500</v>
      </c>
      <c r="H24" s="30" t="n">
        <f aca="false">IF($G$24=0,0,G24/$G$24)</f>
        <v>1</v>
      </c>
    </row>
    <row r="26" customFormat="false" ht="15" hidden="false" customHeight="false" outlineLevel="0" collapsed="false">
      <c r="A26" s="3" t="s">
        <v>33</v>
      </c>
    </row>
    <row r="27" customFormat="false" ht="15" hidden="false" customHeight="false" outlineLevel="0" collapsed="false">
      <c r="A27" s="5" t="s">
        <v>34</v>
      </c>
      <c r="B27" s="32" t="n">
        <f aca="false">H24</f>
        <v>1</v>
      </c>
    </row>
    <row r="28" customFormat="false" ht="15" hidden="false" customHeight="false" outlineLevel="0" collapsed="false">
      <c r="A28" s="5" t="s">
        <v>35</v>
      </c>
      <c r="B28" s="9" t="n">
        <f aca="false">B9*G24</f>
        <v>5000000</v>
      </c>
    </row>
    <row r="29" customFormat="false" ht="15" hidden="false" customHeight="false" outlineLevel="0" collapsed="false">
      <c r="A29" s="5" t="s">
        <v>36</v>
      </c>
      <c r="B29" s="32" t="n">
        <f aca="false">SUMIF(B15:B23,"Actions de préférence",H15:H23)</f>
        <v>0.2</v>
      </c>
    </row>
    <row r="30" customFormat="false" ht="15" hidden="false" customHeight="false" outlineLevel="0" collapsed="false">
      <c r="A30" s="5" t="s">
        <v>37</v>
      </c>
      <c r="B30" s="32" t="n">
        <f aca="false">(F20+C18)/G24</f>
        <v>0.16</v>
      </c>
    </row>
    <row r="32" customFormat="false" ht="15" hidden="false" customHeight="true" outlineLevel="0" collapsed="false">
      <c r="A32" s="33" t="s">
        <v>38</v>
      </c>
      <c r="B32" s="33"/>
      <c r="C32" s="33"/>
      <c r="D32" s="33"/>
      <c r="E32" s="33"/>
      <c r="F32" s="33"/>
      <c r="G32" s="33"/>
      <c r="H32" s="33"/>
    </row>
    <row r="33" customFormat="false" ht="15" hidden="false" customHeight="false" outlineLevel="0" collapsed="false">
      <c r="A33" s="33"/>
      <c r="B33" s="33"/>
      <c r="C33" s="33"/>
      <c r="D33" s="33"/>
      <c r="E33" s="33"/>
      <c r="F33" s="33"/>
      <c r="G33" s="33"/>
      <c r="H33" s="33"/>
    </row>
    <row r="34" customFormat="false" ht="15" hidden="false" customHeight="false" outlineLevel="0" collapsed="false">
      <c r="A34" s="33"/>
      <c r="B34" s="33"/>
      <c r="C34" s="33"/>
      <c r="D34" s="33"/>
      <c r="E34" s="33"/>
      <c r="F34" s="33"/>
      <c r="G34" s="33"/>
      <c r="H34" s="33"/>
    </row>
  </sheetData>
  <mergeCells count="1">
    <mergeCell ref="A32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2026-06-11T08:12:08Z</dcterms:created>
  <dc:creator>openpyxl</dc:creator>
  <dc:description/>
  <dc:language>en-US</dc:language>
  <cp:lastModifiedBy/>
  <dcterms:modified xsi:type="dcterms:W3CDTF">2026-06-11T08:12:08Z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